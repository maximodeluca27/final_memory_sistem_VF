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final_memory_sistem_VF\dashboard\"/>
    </mc:Choice>
  </mc:AlternateContent>
  <xr:revisionPtr revIDLastSave="0" documentId="13_ncr:1_{E9E86438-D081-4F25-9766-4AC1625B65C0}" xr6:coauthVersionLast="47" xr6:coauthVersionMax="47" xr10:uidLastSave="{00000000-0000-0000-0000-000000000000}"/>
  <bookViews>
    <workbookView xWindow="-108" yWindow="-108" windowWidth="23256" windowHeight="12456" xr2:uid="{9E1FE8A6-F347-4DB4-952C-DB46A5AEDCAC}"/>
  </bookViews>
  <sheets>
    <sheet name="Consulta1" sheetId="2" r:id="rId1"/>
    <sheet name="Hoja1" sheetId="1" r:id="rId2"/>
  </sheets>
  <definedNames>
    <definedName name="DatosExternos_1" localSheetId="0" hidden="1">'Consulta1'!$A$1:$E$6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66DCE-2233-42AE-979D-009A87AFC25C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<sst xmlns="http://schemas.openxmlformats.org/spreadsheetml/2006/main" count="7" uniqueCount="7">
  <si>
    <t>num_frames</t>
  </si>
  <si>
    <t>total_accesos</t>
  </si>
  <si>
    <t>total_page_faults</t>
  </si>
  <si>
    <t>tasa_page_fault_pct</t>
  </si>
  <si>
    <t>tasa_hit_pct</t>
  </si>
  <si>
    <t>Hit Rate Máximo</t>
  </si>
  <si>
    <t>Page Fault Rate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</si>
</sst>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Análisis</a:t>
            </a:r>
            <a:r>
              <a:rPr lang="es-AR" baseline="0"/>
              <a:t> de Page Faults</a:t>
            </a:r>
            <a:endParaRPr lang="es-AR"/>
          </a:p>
        </c:rich>
      </c:tx>
      <c:layout>
        <c:manualLayout>
          <c:xMode val="edge"/>
          <c:yMode val="edge"/>
          <c:x val="0.3316418780985710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4580927384076988E-2"/>
          <c:y val="0.16708333333333336"/>
          <c:w val="0.87764129483814524"/>
          <c:h val="0.54417359288422285"/>
        </c:manualLayout>
      </c:layout>
      <c:lineChart>
        <c:grouping val="standard"/>
        <c:varyColors val="0"/>
        <c:ser>
          <c:idx val="3"/>
          <c:order val="3"/>
          <c:tx>
            <c:strRef>
              <c:f>'Consulta1'!$D$1</c:f>
              <c:strCache>
                <c:ptCount val="1"/>
                <c:pt idx="0">
                  <c:v>tasa_page_fault_pct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'Consulta1'!$A$2:$A$6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'Consulta1'!$D$2:$D$6</c:f>
              <c:numCache>
                <c:formatCode>General</c:formatCode>
                <c:ptCount val="5"/>
                <c:pt idx="0">
                  <c:v>99.1</c:v>
                </c:pt>
                <c:pt idx="1">
                  <c:v>98.3</c:v>
                </c:pt>
                <c:pt idx="2">
                  <c:v>96.1</c:v>
                </c:pt>
                <c:pt idx="3">
                  <c:v>92.4</c:v>
                </c:pt>
                <c:pt idx="4">
                  <c:v>85.4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84-408E-813B-8C8B8DD57257}"/>
            </c:ext>
          </c:extLst>
        </c:ser>
        <c:ser>
          <c:idx val="4"/>
          <c:order val="4"/>
          <c:tx>
            <c:strRef>
              <c:f>'Consulta1'!$E$1</c:f>
              <c:strCache>
                <c:ptCount val="1"/>
                <c:pt idx="0">
                  <c:v>tasa_hit_pct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'Consulta1'!$A$2:$A$6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'Consulta1'!$E$2:$E$6</c:f>
              <c:numCache>
                <c:formatCode>General</c:formatCode>
                <c:ptCount val="5"/>
                <c:pt idx="0">
                  <c:v>0.9</c:v>
                </c:pt>
                <c:pt idx="1">
                  <c:v>1.7</c:v>
                </c:pt>
                <c:pt idx="2">
                  <c:v>3.9</c:v>
                </c:pt>
                <c:pt idx="3">
                  <c:v>7.6</c:v>
                </c:pt>
                <c:pt idx="4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84-408E-813B-8C8B8DD57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612735"/>
        <c:axId val="1872630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'Consulta1'!$A$1</c15:sqref>
                        </c15:formulaRef>
                      </c:ext>
                    </c:extLst>
                    <c:strCache>
                      <c:ptCount val="1"/>
                      <c:pt idx="0">
                        <c:v>num_frames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'Consulta1'!$A$2:$A$6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'Consulta1'!$A$2:$A$6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D84-408E-813B-8C8B8DD572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'Consulta1'!$B$1</c15:sqref>
                        </c15:formulaRef>
                      </c:ext>
                    </c:extLst>
                    <c:strCache>
                      <c:ptCount val="1"/>
                      <c:pt idx="0">
                        <c:v>total_accesos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'Consulta1'!$A$2:$A$6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'Consulta1'!$B$2:$B$6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D84-408E-813B-8C8B8DD572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'Consulta1'!$C$1</c15:sqref>
                        </c15:formulaRef>
                      </c:ext>
                    </c:extLst>
                    <c:strCache>
                      <c:ptCount val="1"/>
                      <c:pt idx="0">
                        <c:v>total_page_faults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'Consulta1'!$A$2:$A$6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'Consulta1'!$C$2:$C$6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991</c:v>
                      </c:pt>
                      <c:pt idx="1">
                        <c:v>983</c:v>
                      </c:pt>
                      <c:pt idx="2">
                        <c:v>961</c:v>
                      </c:pt>
                      <c:pt idx="3">
                        <c:v>924</c:v>
                      </c:pt>
                      <c:pt idx="4">
                        <c:v>854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D84-408E-813B-8C8B8DD57257}"/>
                  </c:ext>
                </c:extLst>
              </c15:ser>
            </c15:filteredLineSeries>
          </c:ext>
        </c:extLst>
      </c:lineChart>
      <c:catAx>
        <c:axId val="187161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2630367"/>
        <c:crosses val="autoZero"/>
        <c:auto val="1"/>
        <c:lblAlgn val="ctr"/>
        <c:lblOffset val="100"/>
        <c:noMultiLvlLbl val="0"/>
      </c:catAx>
      <c:valAx>
        <c:axId val="18726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161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7</xdr:row>
      <xdr:rowOff>140970</xdr:rowOff>
    </xdr:from>
    <xdr:to>
      <xdr:col>5</xdr:col>
      <xdr:colOff>15240</xdr:colOff>
      <xdr:row>22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79F285-0749-FBC2-9D6E-55BD8555C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04439E-B54D-488B-BCB5-4F2F5EDC6613}" autoFormatId="16" applyNumberFormats="0" applyBorderFormats="0" applyFontFormats="0" applyPatternFormats="0" applyAlignmentFormats="0" applyWidthHeightFormats="0">
  <queryTableRefresh nextId="6">
    <queryTableFields count="5">
      <queryTableField id="1" name="num_frames" tableColumnId="1"/>
      <queryTableField id="2" name="total_accesos" tableColumnId="2"/>
      <queryTableField id="3" name="total_page_faults" tableColumnId="3"/>
      <queryTableField id="4" name="tasa_page_fault_pct" tableColumnId="4"/>
      <queryTableField id="5" name="tasa_hit_pc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8EA9F-F842-4C1A-A923-A3822620BEEA}" name="Consulta1" displayName="Consulta1" ref="A1:E6" tableType="queryTable" totalsRowShown="0">
  <autoFilter ref="A1:E6" xr:uid="{D9B8EA9F-F842-4C1A-A923-A3822620BEEA}"/>
  <tableColumns count="5">
    <tableColumn id="1" xr3:uid="{FE6BA256-1522-451B-8260-4EE190C1666E}" uniqueName="1" name="num_frames" queryTableFieldId="1"/>
    <tableColumn id="2" xr3:uid="{94FA95DA-D3F5-461C-A6CC-1550EAD34277}" uniqueName="2" name="total_accesos" queryTableFieldId="2"/>
    <tableColumn id="3" xr3:uid="{3CE827F2-724B-405B-BD55-E31C5EA5ACC0}" uniqueName="3" name="total_page_faults" queryTableFieldId="3"/>
    <tableColumn id="4" xr3:uid="{0F5AC672-9A4F-4E71-83C6-9FA3107B815B}" uniqueName="4" name="tasa_page_fault_pct" queryTableFieldId="4"/>
    <tableColumn id="5" xr3:uid="{9B199A00-F2FA-4E8D-B49D-59098A821430}" uniqueName="5" name="tasa_hit_pc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D0BA-B40E-4ED3-A3BB-F7B68B517299}">
  <dimension ref="A1:I6"/>
  <sheetViews>
    <sheetView showGridLines="0" tabSelected="1" workbookViewId="0">
      <selection activeCell="H9" sqref="H9"/>
    </sheetView>
  </sheetViews>
  <sheetFormatPr baseColWidth="10" defaultRowHeight="14.4" x14ac:dyDescent="0.3"/>
  <cols>
    <col min="1" max="1" width="13.44140625" bestFit="1" customWidth="1"/>
    <col min="2" max="2" width="14.6640625" bestFit="1" customWidth="1"/>
    <col min="3" max="3" width="17.33203125" bestFit="1" customWidth="1"/>
    <col min="4" max="4" width="19.77734375" bestFit="1" customWidth="1"/>
    <col min="5" max="5" width="13.33203125" bestFit="1" customWidth="1"/>
    <col min="7" max="7" width="17.77734375" customWidth="1"/>
    <col min="8" max="8" width="13.6640625" customWidth="1"/>
    <col min="9" max="9" width="25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ht="18" x14ac:dyDescent="0.35">
      <c r="A2">
        <v>1</v>
      </c>
      <c r="B2">
        <v>1000</v>
      </c>
      <c r="C2">
        <v>991</v>
      </c>
      <c r="D2">
        <v>99.1</v>
      </c>
      <c r="E2">
        <v>0.9</v>
      </c>
      <c r="G2" s="1" t="s">
        <v>5</v>
      </c>
      <c r="I2" s="1" t="s">
        <v>6</v>
      </c>
    </row>
    <row r="3" spans="1:9" ht="15.6" x14ac:dyDescent="0.3">
      <c r="A3">
        <v>2</v>
      </c>
      <c r="B3">
        <v>1000</v>
      </c>
      <c r="C3">
        <v>983</v>
      </c>
      <c r="D3">
        <v>98.3</v>
      </c>
      <c r="E3">
        <v>1.7</v>
      </c>
      <c r="G3" s="2">
        <f>MAX(Consulta1[tasa_hit_pct])</f>
        <v>14.6</v>
      </c>
      <c r="I3" s="3">
        <f>MAX(Consulta1[tasa_page_fault_pct])</f>
        <v>99.1</v>
      </c>
    </row>
    <row r="4" spans="1:9" x14ac:dyDescent="0.3">
      <c r="A4">
        <v>4</v>
      </c>
      <c r="B4">
        <v>1000</v>
      </c>
      <c r="C4">
        <v>961</v>
      </c>
      <c r="D4">
        <v>96.1</v>
      </c>
      <c r="E4">
        <v>3.9</v>
      </c>
    </row>
    <row r="5" spans="1:9" x14ac:dyDescent="0.3">
      <c r="A5">
        <v>8</v>
      </c>
      <c r="B5">
        <v>1000</v>
      </c>
      <c r="C5">
        <v>924</v>
      </c>
      <c r="D5">
        <v>92.4</v>
      </c>
      <c r="E5">
        <v>7.6</v>
      </c>
    </row>
    <row r="6" spans="1:9" x14ac:dyDescent="0.3">
      <c r="A6">
        <v>16</v>
      </c>
      <c r="B6">
        <v>1000</v>
      </c>
      <c r="C6">
        <v>854</v>
      </c>
      <c r="D6">
        <v>85.4</v>
      </c>
      <c r="E6">
        <v>14.6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2448-0BA7-44EC-95A4-8F1139F0CA8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554F7-0D92-43F3-8847-33ED561C0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De Luca</dc:creator>
  <cp:lastModifiedBy>Maximo De Luca</cp:lastModifiedBy>
  <dcterms:created xsi:type="dcterms:W3CDTF">2026-08-04T18:18:44Z</dcterms:created>
  <dcterms:modified xsi:type="dcterms:W3CDTF">2026-08-04T19:07:40Z</dcterms:modified>
</cp:coreProperties>
</file>